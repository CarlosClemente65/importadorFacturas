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Programacion\c#\importadorFacturas\pruebas\"/>
    </mc:Choice>
  </mc:AlternateContent>
  <bookViews>
    <workbookView xWindow="0" yWindow="0" windowWidth="18060" windowHeight="7485"/>
  </bookViews>
  <sheets>
    <sheet name="DIAGRAM" sheetId="1" r:id="rId1"/>
  </sheets>
  <definedNames>
    <definedName name="_xlnm._FilterDatabase" localSheetId="0" hidden="1">DIAGRAM!$F$37:$F$38</definedName>
    <definedName name="DatosExternos_3" localSheetId="0" hidden="1">DIAGRAM!$C$1:$C$8</definedName>
  </definedNames>
  <calcPr calcId="162913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R4" i="1"/>
  <c r="S4" i="1" s="1"/>
  <c r="T4" i="1"/>
  <c r="P5" i="1"/>
  <c r="R5" i="1"/>
  <c r="S5" i="1" s="1"/>
  <c r="T5" i="1"/>
  <c r="P6" i="1"/>
  <c r="R6" i="1"/>
  <c r="S6" i="1" s="1"/>
  <c r="T6" i="1"/>
  <c r="P7" i="1"/>
  <c r="R7" i="1"/>
  <c r="S7" i="1" s="1"/>
  <c r="T7" i="1"/>
  <c r="P8" i="1"/>
  <c r="R8" i="1"/>
  <c r="S8" i="1" s="1"/>
  <c r="T8" i="1"/>
  <c r="N10" i="1" l="1"/>
  <c r="T3" i="1"/>
  <c r="R3" i="1"/>
  <c r="S3" i="1" s="1"/>
  <c r="P3" i="1"/>
  <c r="T2" i="1"/>
  <c r="R2" i="1"/>
  <c r="S2" i="1" s="1"/>
  <c r="P2" i="1"/>
</calcChain>
</file>

<file path=xl/connections.xml><?xml version="1.0" encoding="utf-8"?>
<connections xmlns="http://schemas.openxmlformats.org/spreadsheetml/2006/main">
  <connection id="1" keepAlive="1" name="Consulta - Combinar" description="Conexión a la consulta 'Combinar' en el libro." type="5" refreshedVersion="8" background="1" saveData="1">
    <dbPr connection="Provider=Microsoft.Mashup.OleDb.1;Data Source=$Workbook$;Location=Combinar;Extended Properties=&quot;&quot;" command="SELECT * FROM [Combinar]"/>
  </connection>
  <connection id="2" keepAlive="1" name="Consulta - Holded" description="Conexión a la consulta 'Holded' en el libro." type="5" refreshedVersion="0" background="1">
    <dbPr connection="Provider=Microsoft.Mashup.OleDb.1;Data Source=$Workbook$;Location=Holded;Extended Properties=&quot;&quot;" command="SELECT * FROM [Holded]"/>
  </connection>
  <connection id="3" keepAlive="1" name="Consulta - invoices" description="Conexión a la consulta 'invoices' en el libro." type="5" refreshedVersion="0" background="1">
    <dbPr connection="Provider=Microsoft.Mashup.OleDb.1;Data Source=$Workbook$;Location=invoices;Extended Properties=&quot;&quot;" command="SELECT * FROM [invoices]"/>
  </connection>
</connections>
</file>

<file path=xl/sharedStrings.xml><?xml version="1.0" encoding="utf-8"?>
<sst xmlns="http://schemas.openxmlformats.org/spreadsheetml/2006/main" count="97" uniqueCount="42">
  <si>
    <t>Tipo de Factura</t>
  </si>
  <si>
    <t>Fecha de expedición</t>
  </si>
  <si>
    <t>Número de factura</t>
  </si>
  <si>
    <t>NIF Destinatario</t>
  </si>
  <si>
    <t>Nombre Destinatario</t>
  </si>
  <si>
    <t>Apellidos Destinatario</t>
  </si>
  <si>
    <t>Dirección Facturación</t>
  </si>
  <si>
    <t>Código Postal</t>
  </si>
  <si>
    <t>Segmento</t>
  </si>
  <si>
    <t>Tag del segmento</t>
  </si>
  <si>
    <t>Base Imponible</t>
  </si>
  <si>
    <t>Tipo IVA</t>
  </si>
  <si>
    <t>Total IVA</t>
  </si>
  <si>
    <t>Total factura</t>
  </si>
  <si>
    <t>Nuevos</t>
  </si>
  <si>
    <t>Erróneo</t>
  </si>
  <si>
    <t>Duplicado en Holded</t>
  </si>
  <si>
    <t>Tipo de Factura2</t>
  </si>
  <si>
    <t>Número</t>
  </si>
  <si>
    <t>NIF Valido</t>
  </si>
  <si>
    <t>ESFA0000018762</t>
  </si>
  <si>
    <t>ESTA0000355780</t>
  </si>
  <si>
    <t>ESTA0000355781</t>
  </si>
  <si>
    <t>ESTA0000355782</t>
  </si>
  <si>
    <t>ESTA0000355783</t>
  </si>
  <si>
    <t>ESTA0000355784</t>
  </si>
  <si>
    <t>ESFA0000018763</t>
  </si>
  <si>
    <t>F2</t>
  </si>
  <si>
    <t>N/D</t>
  </si>
  <si>
    <t>wetaca</t>
  </si>
  <si>
    <t>WETACA_PUBLIC</t>
  </si>
  <si>
    <t/>
  </si>
  <si>
    <t>F1</t>
  </si>
  <si>
    <t>B05366596</t>
  </si>
  <si>
    <t>MA´´´´´´´´´´´´´´S QUE NOCE OCIO Y EVENTOS SL</t>
  </si>
  <si>
    <t>Calle de Cronos, 24, Portal 1 Piso 3ª E14, Madrid</t>
  </si>
  <si>
    <t>28037</t>
  </si>
  <si>
    <t>00817289F</t>
  </si>
  <si>
    <t>Alfredo</t>
  </si>
  <si>
    <t>Ramos Pérez</t>
  </si>
  <si>
    <t>María Blasco, 1, 17, Colmenar Viejo</t>
  </si>
  <si>
    <t>28770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</si>
</sst>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2" borderId="0" xfId="0" applyFill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osExternos_3" connectionId="1" autoFormatId="16" applyNumberFormats="0" applyBorderFormats="0" applyFontFormats="0" applyPatternFormats="0" applyAlignmentFormats="0" applyWidthHeightFormats="0">
  <queryTableRefresh nextId="43" unboundColumnsLeft="2" unboundColumnsRight="17">
    <queryTableFields count="20">
      <queryTableField id="29" dataBound="0" tableColumnId="29"/>
      <queryTableField id="28" dataBound="0" tableColumnId="28"/>
      <queryTableField id="2" name="Número de factura" tableColumnId="2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30" dataBound="0" tableColumnId="30"/>
      <queryTableField id="31" dataBound="0" tableColumnId="31"/>
      <queryTableField id="32" dataBound="0" tableColumnId="32"/>
      <queryTableField id="33" dataBound="0" tableColumnId="33"/>
      <queryTableField id="34" dataBound="0" tableColumnId="34"/>
      <queryTableField id="35" dataBound="0" tableColumnId="35"/>
      <queryTableField id="36" dataBound="0" tableColumnId="1"/>
      <queryTableField id="37" dataBound="0" tableColumnId="3"/>
      <queryTableField id="38" dataBound="0" tableColumnId="4"/>
      <queryTableField id="42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Combinar" displayName="Combinar" ref="A1:T8" tableType="queryTable" totalsRowShown="0">
  <tableColumns count="20">
    <tableColumn id="29" uniqueName="29" name="Tipo de Factura" queryTableFieldId="29" dataDxfId="23"/>
    <tableColumn id="28" uniqueName="28" name="Fecha de expedición" queryTableFieldId="28" dataDxfId="22" totalsRowDxfId="21"/>
    <tableColumn id="2" uniqueName="2" name="Número de factura" queryTableFieldId="2" dataDxfId="20"/>
    <tableColumn id="21" uniqueName="21" name="NIF Destinatario" queryTableFieldId="21" dataDxfId="19"/>
    <tableColumn id="22" uniqueName="22" name="Nombre Destinatario" queryTableFieldId="22" dataDxfId="18"/>
    <tableColumn id="23" uniqueName="23" name="Apellidos Destinatario" queryTableFieldId="23" dataDxfId="17"/>
    <tableColumn id="24" uniqueName="24" name="Dirección Facturación" queryTableFieldId="24" dataDxfId="16"/>
    <tableColumn id="25" uniqueName="25" name="Código Postal" queryTableFieldId="25" dataDxfId="15"/>
    <tableColumn id="26" uniqueName="26" name="Segmento" queryTableFieldId="26" dataDxfId="14"/>
    <tableColumn id="27" uniqueName="27" name="Tag del segmento" queryTableFieldId="27" dataDxfId="13"/>
    <tableColumn id="30" uniqueName="30" name="Base Imponible" queryTableFieldId="30" dataDxfId="12" totalsRowDxfId="11"/>
    <tableColumn id="31" uniqueName="31" name="Tipo IVA" queryTableFieldId="31" dataDxfId="10"/>
    <tableColumn id="32" uniqueName="32" name="Total IVA" queryTableFieldId="32" dataDxfId="9" totalsRowDxfId="8"/>
    <tableColumn id="33" uniqueName="33" name="Total factura" queryTableFieldId="33" dataDxfId="7" totalsRowDxfId="6"/>
    <tableColumn id="34" uniqueName="34" name="Nuevos" queryTableFieldId="34" dataDxfId="5"/>
    <tableColumn id="35" uniqueName="35" name="Erróneo" queryTableFieldId="35" dataDxfId="4">
      <calculatedColumnFormula>IF(Combinar[[#This Row],[NIF Destinatario]]="N/D","",IF(LEN(D2)&lt;&gt;9,"x",""))</calculatedColumnFormula>
    </tableColumn>
    <tableColumn id="1" uniqueName="1" name="Duplicado en Holded" queryTableFieldId="36" dataDxfId="3"/>
    <tableColumn id="3" uniqueName="3" name="Tipo de Factura2" queryTableFieldId="37" dataDxfId="2">
      <calculatedColumnFormula>IF(LEFT(Combinar[[#This Row],[Número de factura]],2)="FS","FS",IF(LEFT(Combinar[[#This Row],[Número de factura]],4)="ESFR","ESFR",IF(LEFT(Combinar[[#This Row],[Número de factura]],2)="ESFM","FM",IF(LEFT(Combinar[[#This Row],[Número de factura]],4)="ESFA","ESFA",IF(LEFT(Combinar[[#This Row],[Número de factura]],4)="ESTR","ESTR",IF(LEFT(Combinar[[#This Row],[Número de factura]],2)="ESTE","ESTE",IF(LEFT(Combinar[[#This Row],[Número de factura]],4)="ESTA","ESTA")))))))</calculatedColumnFormula>
    </tableColumn>
    <tableColumn id="4" uniqueName="4" name="Número" queryTableFieldId="38" dataDxfId="1">
      <calculatedColumnFormula>RIGHT(Combinar[[#This Row],[Número de factura]],LEN(Combinar[[#This Row],[Número de factura]])-LEN(Combinar[[#This Row],[Tipo de Factura2]]))*1</calculatedColumnFormula>
    </tableColumn>
    <tableColumn id="5" uniqueName="5" name="NIF Valido" queryTableFieldId="42" dataDxfId="0">
      <calculatedColumnFormula>IF(
  AND(
    LEN(Combinar[[#This Row],[NIF Destinatario]])=9,
    ISNUMBER(VALUE(LEFT(Combinar[[#This Row],[NIF Destinatario]],8))),
    MID("TRWAGMYFPDXBNJZSQVHLCKE", MOD(VALUE(LEFT(Combinar[[#This Row],[NIF Destinatario]],8)),23)+1, 1) = RIGHT(Combinar[[#This Row],[NIF Destinatario]],1)
  ),
  "Válido",
  "No válido"
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10"/>
  <sheetViews>
    <sheetView tabSelected="1" zoomScale="95" zoomScaleNormal="95" workbookViewId="0">
      <pane ySplit="1" topLeftCell="A2" activePane="bottomLeft" state="frozen"/>
      <selection pane="bottomLeft" activeCell="A2" sqref="A2"/>
    </sheetView>
  </sheetViews>
  <sheetFormatPr baseColWidth="10" defaultRowHeight="14.25"/>
  <cols>
    <col min="1" max="1" width="16.25" bestFit="1" customWidth="1"/>
    <col min="2" max="2" width="20.625" style="1" bestFit="1" customWidth="1"/>
    <col min="3" max="3" width="19.125" bestFit="1" customWidth="1"/>
    <col min="4" max="4" width="17.125" bestFit="1" customWidth="1"/>
    <col min="5" max="5" width="49.5" bestFit="1" customWidth="1"/>
    <col min="6" max="6" width="24.5" bestFit="1" customWidth="1"/>
    <col min="7" max="7" width="79" bestFit="1" customWidth="1"/>
    <col min="8" max="8" width="14.875" bestFit="1" customWidth="1"/>
    <col min="9" max="9" width="26.75" bestFit="1" customWidth="1"/>
    <col min="10" max="10" width="17.625" bestFit="1" customWidth="1"/>
    <col min="11" max="11" width="16.375" bestFit="1" customWidth="1"/>
    <col min="12" max="12" width="10.25" bestFit="1" customWidth="1"/>
    <col min="13" max="13" width="10.75" style="2" bestFit="1" customWidth="1"/>
    <col min="14" max="14" width="13.875" style="2" bestFit="1" customWidth="1"/>
    <col min="15" max="15" width="9.5" bestFit="1" customWidth="1"/>
    <col min="16" max="16" width="10" bestFit="1" customWidth="1"/>
    <col min="17" max="17" width="21.125" bestFit="1" customWidth="1"/>
    <col min="18" max="18" width="17.25" bestFit="1" customWidth="1"/>
    <col min="19" max="19" width="10.125" bestFit="1" customWidth="1"/>
    <col min="20" max="20" width="12.125" bestFit="1" customWidth="1"/>
  </cols>
  <sheetData>
    <row r="1" spans="1:20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s="3" customFormat="1">
      <c r="A2" t="s">
        <v>32</v>
      </c>
      <c r="B2" s="1">
        <v>46030.003969907404</v>
      </c>
      <c r="C2" t="s">
        <v>20</v>
      </c>
      <c r="D2" t="s">
        <v>33</v>
      </c>
      <c r="E2" t="s">
        <v>34</v>
      </c>
      <c r="F2" t="s">
        <v>28</v>
      </c>
      <c r="G2" t="s">
        <v>35</v>
      </c>
      <c r="H2" t="s">
        <v>36</v>
      </c>
      <c r="I2" t="s">
        <v>29</v>
      </c>
      <c r="J2" t="s">
        <v>30</v>
      </c>
      <c r="K2" s="2">
        <v>49.02</v>
      </c>
      <c r="L2">
        <v>0.1</v>
      </c>
      <c r="M2">
        <v>4.8999999999999986</v>
      </c>
      <c r="N2" s="2">
        <v>53.92</v>
      </c>
      <c r="O2" t="s">
        <v>31</v>
      </c>
      <c r="P2" t="str">
        <f>IF(Combinar[[#This Row],[NIF Destinatario]]="N/D","",IF(LEN(D2)&lt;&gt;9,"x",""))</f>
        <v/>
      </c>
      <c r="Q2" t="s">
        <v>31</v>
      </c>
      <c r="R2" t="str">
        <f>IF(LEFT(Combinar[[#This Row],[Número de factura]],2)="FS","FS",IF(LEFT(Combinar[[#This Row],[Número de factura]],4)="ESFR","ESFR",IF(LEFT(Combinar[[#This Row],[Número de factura]],2)="ESFM","FM",IF(LEFT(Combinar[[#This Row],[Número de factura]],4)="ESFA","ESFA",IF(LEFT(Combinar[[#This Row],[Número de factura]],4)="ESTR","ESTR",IF(LEFT(Combinar[[#This Row],[Número de factura]],2)="ESTE","ESTE",IF(LEFT(Combinar[[#This Row],[Número de factura]],4)="ESTA","ESTA")))))))</f>
        <v>ESFA</v>
      </c>
      <c r="S2">
        <f>RIGHT(Combinar[[#This Row],[Número de factura]],LEN(Combinar[[#This Row],[Número de factura]])-LEN(Combinar[[#This Row],[Tipo de Factura2]]))*1</f>
        <v>18762</v>
      </c>
      <c r="T2" t="e">
        <f>IF(
  AND(
    LEN(Combinar[[#This Row],[NIF Destinatario]])=9,
    ISNUMBER(VALUE(LEFT(Combinar[[#This Row],[NIF Destinatario]],8))),
    MID("TRWAGMYFPDXBNJZSQVHLCKE", MOD(VALUE(LEFT(Combinar[[#This Row],[NIF Destinatario]],8)),23)+1, 1) = RIGHT(Combinar[[#This Row],[NIF Destinatario]],1)
  ),
  "Válido",
  "No válido"
)</f>
        <v>#VALUE!</v>
      </c>
    </row>
    <row r="3" spans="1:20" s="3" customFormat="1">
      <c r="A3" t="s">
        <v>27</v>
      </c>
      <c r="B3" s="1">
        <v>46030.003969907404</v>
      </c>
      <c r="C3" t="s">
        <v>21</v>
      </c>
      <c r="D3" t="s">
        <v>28</v>
      </c>
      <c r="E3" t="s">
        <v>28</v>
      </c>
      <c r="F3" t="s">
        <v>28</v>
      </c>
      <c r="G3" t="s">
        <v>28</v>
      </c>
      <c r="H3" t="s">
        <v>28</v>
      </c>
      <c r="I3" t="s">
        <v>29</v>
      </c>
      <c r="J3" t="s">
        <v>30</v>
      </c>
      <c r="K3" s="2">
        <v>27.05</v>
      </c>
      <c r="L3">
        <v>0.1</v>
      </c>
      <c r="M3">
        <v>2.6999999999999993</v>
      </c>
      <c r="N3" s="2">
        <v>29.75</v>
      </c>
      <c r="O3" t="s">
        <v>31</v>
      </c>
      <c r="P3" t="str">
        <f>IF(Combinar[[#This Row],[NIF Destinatario]]="N/D","",IF(LEN(D3)&lt;&gt;9,"x",""))</f>
        <v/>
      </c>
      <c r="Q3" t="s">
        <v>31</v>
      </c>
      <c r="R3" t="str">
        <f>IF(LEFT(Combinar[[#This Row],[Número de factura]],2)="FS","FS",IF(LEFT(Combinar[[#This Row],[Número de factura]],4)="ESFR","ESFR",IF(LEFT(Combinar[[#This Row],[Número de factura]],2)="ESFM","FM",IF(LEFT(Combinar[[#This Row],[Número de factura]],4)="ESFA","ESFA",IF(LEFT(Combinar[[#This Row],[Número de factura]],4)="ESTR","ESTR",IF(LEFT(Combinar[[#This Row],[Número de factura]],2)="ESTE","ESTE",IF(LEFT(Combinar[[#This Row],[Número de factura]],4)="ESTA","ESTA")))))))</f>
        <v>ESTA</v>
      </c>
      <c r="S3">
        <f>RIGHT(Combinar[[#This Row],[Número de factura]],LEN(Combinar[[#This Row],[Número de factura]])-LEN(Combinar[[#This Row],[Tipo de Factura2]]))*1</f>
        <v>355780</v>
      </c>
      <c r="T3" t="e">
        <f>IF(
  AND(
    LEN(Combinar[[#This Row],[NIF Destinatario]])=9,
    ISNUMBER(VALUE(LEFT(Combinar[[#This Row],[NIF Destinatario]],8))),
    MID("TRWAGMYFPDXBNJZSQVHLCKE", MOD(VALUE(LEFT(Combinar[[#This Row],[NIF Destinatario]],8)),23)+1, 1) = RIGHT(Combinar[[#This Row],[NIF Destinatario]],1)
  ),
  "Válido",
  "No válido"
)</f>
        <v>#VALUE!</v>
      </c>
    </row>
    <row r="4" spans="1:20" s="3" customFormat="1">
      <c r="A4" t="s">
        <v>27</v>
      </c>
      <c r="B4" s="1">
        <v>46030.003969907404</v>
      </c>
      <c r="C4" t="s">
        <v>22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29</v>
      </c>
      <c r="J4" t="s">
        <v>30</v>
      </c>
      <c r="K4" s="2">
        <v>51.37</v>
      </c>
      <c r="L4">
        <v>0.1</v>
      </c>
      <c r="M4">
        <v>5.1400000000000006</v>
      </c>
      <c r="N4" s="2">
        <v>56.51</v>
      </c>
      <c r="O4" t="s">
        <v>31</v>
      </c>
      <c r="P4" t="str">
        <f>IF(Combinar[[#This Row],[NIF Destinatario]]="N/D","",IF(LEN(D4)&lt;&gt;9,"x",""))</f>
        <v/>
      </c>
      <c r="Q4" t="s">
        <v>31</v>
      </c>
      <c r="R4" t="str">
        <f>IF(LEFT(Combinar[[#This Row],[Número de factura]],2)="FS","FS",IF(LEFT(Combinar[[#This Row],[Número de factura]],4)="ESFR","ESFR",IF(LEFT(Combinar[[#This Row],[Número de factura]],2)="ESFM","FM",IF(LEFT(Combinar[[#This Row],[Número de factura]],4)="ESFA","ESFA",IF(LEFT(Combinar[[#This Row],[Número de factura]],4)="ESTR","ESTR",IF(LEFT(Combinar[[#This Row],[Número de factura]],2)="ESTE","ESTE",IF(LEFT(Combinar[[#This Row],[Número de factura]],4)="ESTA","ESTA")))))))</f>
        <v>ESTA</v>
      </c>
      <c r="S4">
        <f>RIGHT(Combinar[[#This Row],[Número de factura]],LEN(Combinar[[#This Row],[Número de factura]])-LEN(Combinar[[#This Row],[Tipo de Factura2]]))*1</f>
        <v>355781</v>
      </c>
      <c r="T4" t="e">
        <f>IF(
  AND(
    LEN(Combinar[[#This Row],[NIF Destinatario]])=9,
    ISNUMBER(VALUE(LEFT(Combinar[[#This Row],[NIF Destinatario]],8))),
    MID("TRWAGMYFPDXBNJZSQVHLCKE", MOD(VALUE(LEFT(Combinar[[#This Row],[NIF Destinatario]],8)),23)+1, 1) = RIGHT(Combinar[[#This Row],[NIF Destinatario]],1)
  ),
  "Válido",
  "No válido"
)</f>
        <v>#VALUE!</v>
      </c>
    </row>
    <row r="5" spans="1:20" s="3" customFormat="1">
      <c r="A5" t="s">
        <v>27</v>
      </c>
      <c r="B5" s="1">
        <v>46030.003969907404</v>
      </c>
      <c r="C5" t="s">
        <v>23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29</v>
      </c>
      <c r="J5" t="s">
        <v>30</v>
      </c>
      <c r="K5" s="2">
        <v>51.38</v>
      </c>
      <c r="L5">
        <v>0.1</v>
      </c>
      <c r="M5">
        <v>5.1400000000000006</v>
      </c>
      <c r="N5" s="2">
        <v>56.52</v>
      </c>
      <c r="O5" t="s">
        <v>31</v>
      </c>
      <c r="P5" t="str">
        <f>IF(Combinar[[#This Row],[NIF Destinatario]]="N/D","",IF(LEN(D5)&lt;&gt;9,"x",""))</f>
        <v/>
      </c>
      <c r="Q5" t="s">
        <v>31</v>
      </c>
      <c r="R5" t="str">
        <f>IF(LEFT(Combinar[[#This Row],[Número de factura]],2)="FS","FS",IF(LEFT(Combinar[[#This Row],[Número de factura]],4)="ESFR","ESFR",IF(LEFT(Combinar[[#This Row],[Número de factura]],2)="ESFM","FM",IF(LEFT(Combinar[[#This Row],[Número de factura]],4)="ESFA","ESFA",IF(LEFT(Combinar[[#This Row],[Número de factura]],4)="ESTR","ESTR",IF(LEFT(Combinar[[#This Row],[Número de factura]],2)="ESTE","ESTE",IF(LEFT(Combinar[[#This Row],[Número de factura]],4)="ESTA","ESTA")))))))</f>
        <v>ESTA</v>
      </c>
      <c r="S5">
        <f>RIGHT(Combinar[[#This Row],[Número de factura]],LEN(Combinar[[#This Row],[Número de factura]])-LEN(Combinar[[#This Row],[Tipo de Factura2]]))*1</f>
        <v>355782</v>
      </c>
      <c r="T5" t="e">
        <f>IF(
  AND(
    LEN(Combinar[[#This Row],[NIF Destinatario]])=9,
    ISNUMBER(VALUE(LEFT(Combinar[[#This Row],[NIF Destinatario]],8))),
    MID("TRWAGMYFPDXBNJZSQVHLCKE", MOD(VALUE(LEFT(Combinar[[#This Row],[NIF Destinatario]],8)),23)+1, 1) = RIGHT(Combinar[[#This Row],[NIF Destinatario]],1)
  ),
  "Válido",
  "No válido"
)</f>
        <v>#VALUE!</v>
      </c>
    </row>
    <row r="6" spans="1:20" s="3" customFormat="1">
      <c r="A6" t="s">
        <v>27</v>
      </c>
      <c r="B6" s="1">
        <v>46030.003969907404</v>
      </c>
      <c r="C6" t="s">
        <v>24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29</v>
      </c>
      <c r="J6" t="s">
        <v>30</v>
      </c>
      <c r="K6" s="2">
        <v>40.58</v>
      </c>
      <c r="L6">
        <v>0.1</v>
      </c>
      <c r="M6">
        <v>4.0600000000000023</v>
      </c>
      <c r="N6" s="2">
        <v>44.64</v>
      </c>
      <c r="O6" t="s">
        <v>31</v>
      </c>
      <c r="P6" t="str">
        <f>IF(Combinar[[#This Row],[NIF Destinatario]]="N/D","",IF(LEN(D6)&lt;&gt;9,"x",""))</f>
        <v/>
      </c>
      <c r="Q6" t="s">
        <v>31</v>
      </c>
      <c r="R6" t="str">
        <f>IF(LEFT(Combinar[[#This Row],[Número de factura]],2)="FS","FS",IF(LEFT(Combinar[[#This Row],[Número de factura]],4)="ESFR","ESFR",IF(LEFT(Combinar[[#This Row],[Número de factura]],2)="ESFM","FM",IF(LEFT(Combinar[[#This Row],[Número de factura]],4)="ESFA","ESFA",IF(LEFT(Combinar[[#This Row],[Número de factura]],4)="ESTR","ESTR",IF(LEFT(Combinar[[#This Row],[Número de factura]],2)="ESTE","ESTE",IF(LEFT(Combinar[[#This Row],[Número de factura]],4)="ESTA","ESTA")))))))</f>
        <v>ESTA</v>
      </c>
      <c r="S6">
        <f>RIGHT(Combinar[[#This Row],[Número de factura]],LEN(Combinar[[#This Row],[Número de factura]])-LEN(Combinar[[#This Row],[Tipo de Factura2]]))*1</f>
        <v>355783</v>
      </c>
      <c r="T6" t="e">
        <f>IF(
  AND(
    LEN(Combinar[[#This Row],[NIF Destinatario]])=9,
    ISNUMBER(VALUE(LEFT(Combinar[[#This Row],[NIF Destinatario]],8))),
    MID("TRWAGMYFPDXBNJZSQVHLCKE", MOD(VALUE(LEFT(Combinar[[#This Row],[NIF Destinatario]],8)),23)+1, 1) = RIGHT(Combinar[[#This Row],[NIF Destinatario]],1)
  ),
  "Válido",
  "No válido"
)</f>
        <v>#VALUE!</v>
      </c>
    </row>
    <row r="7" spans="1:20" s="3" customFormat="1">
      <c r="A7" t="s">
        <v>27</v>
      </c>
      <c r="B7" s="1">
        <v>46030.003969907404</v>
      </c>
      <c r="C7" t="s">
        <v>25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29</v>
      </c>
      <c r="J7" t="s">
        <v>30</v>
      </c>
      <c r="K7" s="2">
        <v>26.06</v>
      </c>
      <c r="L7">
        <v>0.1</v>
      </c>
      <c r="M7">
        <v>2.610000000000003</v>
      </c>
      <c r="N7" s="2">
        <v>28.67</v>
      </c>
      <c r="O7" t="s">
        <v>31</v>
      </c>
      <c r="P7" t="str">
        <f>IF(Combinar[[#This Row],[NIF Destinatario]]="N/D","",IF(LEN(D7)&lt;&gt;9,"x",""))</f>
        <v/>
      </c>
      <c r="Q7" t="s">
        <v>31</v>
      </c>
      <c r="R7" t="str">
        <f>IF(LEFT(Combinar[[#This Row],[Número de factura]],2)="FS","FS",IF(LEFT(Combinar[[#This Row],[Número de factura]],4)="ESFR","ESFR",IF(LEFT(Combinar[[#This Row],[Número de factura]],2)="ESFM","FM",IF(LEFT(Combinar[[#This Row],[Número de factura]],4)="ESFA","ESFA",IF(LEFT(Combinar[[#This Row],[Número de factura]],4)="ESTR","ESTR",IF(LEFT(Combinar[[#This Row],[Número de factura]],2)="ESTE","ESTE",IF(LEFT(Combinar[[#This Row],[Número de factura]],4)="ESTA","ESTA")))))))</f>
        <v>ESTA</v>
      </c>
      <c r="S7">
        <f>RIGHT(Combinar[[#This Row],[Número de factura]],LEN(Combinar[[#This Row],[Número de factura]])-LEN(Combinar[[#This Row],[Tipo de Factura2]]))*1</f>
        <v>355784</v>
      </c>
      <c r="T7" t="e">
        <f>IF(
  AND(
    LEN(Combinar[[#This Row],[NIF Destinatario]])=9,
    ISNUMBER(VALUE(LEFT(Combinar[[#This Row],[NIF Destinatario]],8))),
    MID("TRWAGMYFPDXBNJZSQVHLCKE", MOD(VALUE(LEFT(Combinar[[#This Row],[NIF Destinatario]],8)),23)+1, 1) = RIGHT(Combinar[[#This Row],[NIF Destinatario]],1)
  ),
  "Válido",
  "No válido"
)</f>
        <v>#VALUE!</v>
      </c>
    </row>
    <row r="8" spans="1:20" s="3" customFormat="1">
      <c r="A8" t="s">
        <v>32</v>
      </c>
      <c r="B8" s="1">
        <v>46030.003969907404</v>
      </c>
      <c r="C8" t="s">
        <v>26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29</v>
      </c>
      <c r="J8" t="s">
        <v>30</v>
      </c>
      <c r="K8" s="2">
        <v>30.77</v>
      </c>
      <c r="L8">
        <v>0.1</v>
      </c>
      <c r="M8">
        <v>3.0800000000000018</v>
      </c>
      <c r="N8" s="2">
        <v>33.85</v>
      </c>
      <c r="O8" t="s">
        <v>31</v>
      </c>
      <c r="P8" t="str">
        <f>IF(Combinar[[#This Row],[NIF Destinatario]]="N/D","",IF(LEN(D8)&lt;&gt;9,"x",""))</f>
        <v/>
      </c>
      <c r="Q8" t="s">
        <v>31</v>
      </c>
      <c r="R8" t="str">
        <f>IF(LEFT(Combinar[[#This Row],[Número de factura]],2)="FS","FS",IF(LEFT(Combinar[[#This Row],[Número de factura]],4)="ESFR","ESFR",IF(LEFT(Combinar[[#This Row],[Número de factura]],2)="ESFM","FM",IF(LEFT(Combinar[[#This Row],[Número de factura]],4)="ESFA","ESFA",IF(LEFT(Combinar[[#This Row],[Número de factura]],4)="ESTR","ESTR",IF(LEFT(Combinar[[#This Row],[Número de factura]],2)="ESTE","ESTE",IF(LEFT(Combinar[[#This Row],[Número de factura]],4)="ESTA","ESTA")))))))</f>
        <v>ESFA</v>
      </c>
      <c r="S8">
        <f>RIGHT(Combinar[[#This Row],[Número de factura]],LEN(Combinar[[#This Row],[Número de factura]])-LEN(Combinar[[#This Row],[Tipo de Factura2]]))*1</f>
        <v>18763</v>
      </c>
      <c r="T8" t="str">
        <f>IF(
  AND(
    LEN(Combinar[[#This Row],[NIF Destinatario]])=9,
    ISNUMBER(VALUE(LEFT(Combinar[[#This Row],[NIF Destinatario]],8))),
    MID("TRWAGMYFPDXBNJZSQVHLCKE", MOD(VALUE(LEFT(Combinar[[#This Row],[NIF Destinatario]],8)),23)+1, 1) = RIGHT(Combinar[[#This Row],[NIF Destinatario]],1)
  ),
  "Válido",
  "No válido"
)</f>
        <v>Válido</v>
      </c>
    </row>
    <row r="10" spans="1:20">
      <c r="N10" s="2">
        <f>3702.1-508.58+60.41</f>
        <v>3253.93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9A641A-9FD7-4E5C-8275-2B200D8245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Chaimae Zerouali</dc:creator>
  <cp:lastModifiedBy>oficina</cp:lastModifiedBy>
  <dcterms:created xsi:type="dcterms:W3CDTF">2026-01-14T16:02:53Z</dcterms:created>
  <dcterms:modified xsi:type="dcterms:W3CDTF">2026-01-14T16:58:41Z</dcterms:modified>
</cp:coreProperties>
</file>